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Emiel-NAS\Resilio Sync\EmielSync\Projects\ShiftRegWS2811\ShiftWS2811_Test\lib\ShiftWS2811\"/>
    </mc:Choice>
  </mc:AlternateContent>
  <xr:revisionPtr revIDLastSave="0" documentId="13_ncr:1_{71BF763A-8E9A-42A9-B1F5-4327EF8F4631}" xr6:coauthVersionLast="47" xr6:coauthVersionMax="47" xr10:uidLastSave="{00000000-0000-0000-0000-000000000000}"/>
  <bookViews>
    <workbookView xWindow="-108" yWindow="-108" windowWidth="46296" windowHeight="25536" xr2:uid="{EAE8A3A2-8B0E-4087-AB84-A1F18FDDE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G16" i="1" s="1"/>
  <c r="I16" i="1" l="1"/>
  <c r="H16" i="1"/>
  <c r="I11" i="1"/>
  <c r="K11" i="1" s="1"/>
  <c r="J16" i="1" l="1"/>
</calcChain>
</file>

<file path=xl/sharedStrings.xml><?xml version="1.0" encoding="utf-8"?>
<sst xmlns="http://schemas.openxmlformats.org/spreadsheetml/2006/main" count="11" uniqueCount="11">
  <si>
    <t>F_BUS_ACTUAL</t>
  </si>
  <si>
    <t>DMA tics</t>
  </si>
  <si>
    <t>F_DMA</t>
  </si>
  <si>
    <t>f_cpu (mhz)</t>
  </si>
  <si>
    <t>F_WS2811 (KHz)</t>
  </si>
  <si>
    <t>T0H</t>
  </si>
  <si>
    <t>T1H</t>
  </si>
  <si>
    <t>T_TIC</t>
  </si>
  <si>
    <t>T0H_TICS</t>
  </si>
  <si>
    <t>T1H_TICS</t>
  </si>
  <si>
    <t>OE_HIGH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</si>
</sst>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E+00"/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6" fontId="0" fillId="0" borderId="0" xfId="0" applyNumberFormat="1"/>
    <xf numFmtId="0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02DF-CE4E-47D4-8ADD-E09434B6C6D9}">
  <dimension ref="A1:K16"/>
  <sheetViews>
    <sheetView tabSelected="1" workbookViewId="0">
      <selection activeCell="K19" sqref="K19"/>
    </sheetView>
  </sheetViews>
  <sheetFormatPr defaultRowHeight="14.4" x14ac:dyDescent="0.3"/>
  <cols>
    <col min="3" max="3" width="12.5546875" customWidth="1"/>
    <col min="4" max="4" width="14.109375" customWidth="1"/>
    <col min="5" max="5" width="10" customWidth="1"/>
    <col min="7" max="7" width="12" customWidth="1"/>
    <col min="8" max="8" width="17.33203125" customWidth="1"/>
    <col min="9" max="9" width="15.6640625" customWidth="1"/>
    <col min="10" max="10" width="15" customWidth="1"/>
    <col min="11" max="11" width="15.109375" customWidth="1"/>
  </cols>
  <sheetData>
    <row r="1" spans="1:11" x14ac:dyDescent="0.3">
      <c r="A1">
        <v>720</v>
      </c>
      <c r="D1" t="s">
        <v>5</v>
      </c>
      <c r="E1" t="s">
        <v>6</v>
      </c>
    </row>
    <row r="2" spans="1:11" x14ac:dyDescent="0.3">
      <c r="A2">
        <v>816</v>
      </c>
      <c r="D2" s="2">
        <v>2.9999999999999999E-7</v>
      </c>
      <c r="E2" s="2">
        <v>8.9999999999999996E-7</v>
      </c>
    </row>
    <row r="3" spans="1:11" x14ac:dyDescent="0.3">
      <c r="A3">
        <v>912</v>
      </c>
    </row>
    <row r="4" spans="1:11" x14ac:dyDescent="0.3">
      <c r="A4">
        <v>960</v>
      </c>
    </row>
    <row r="5" spans="1:11" x14ac:dyDescent="0.3">
      <c r="A5">
        <v>1008</v>
      </c>
    </row>
    <row r="10" spans="1:11" x14ac:dyDescent="0.3">
      <c r="C10" t="s">
        <v>3</v>
      </c>
      <c r="D10" t="s">
        <v>1</v>
      </c>
      <c r="H10" t="s">
        <v>0</v>
      </c>
      <c r="I10" t="s">
        <v>2</v>
      </c>
      <c r="K10" t="s">
        <v>4</v>
      </c>
    </row>
    <row r="11" spans="1:11" x14ac:dyDescent="0.3">
      <c r="C11">
        <v>816</v>
      </c>
      <c r="D11">
        <v>23</v>
      </c>
      <c r="H11">
        <f>C11/4</f>
        <v>204</v>
      </c>
      <c r="I11">
        <f>H11/D11</f>
        <v>8.8695652173913047</v>
      </c>
      <c r="K11" s="1">
        <f>I11/16*1000</f>
        <v>554.3478260869565</v>
      </c>
    </row>
    <row r="15" spans="1:11" x14ac:dyDescent="0.3">
      <c r="G15" t="s">
        <v>7</v>
      </c>
      <c r="H15" t="s">
        <v>8</v>
      </c>
      <c r="I15" t="s">
        <v>9</v>
      </c>
      <c r="J15" t="s">
        <v>10</v>
      </c>
    </row>
    <row r="16" spans="1:11" x14ac:dyDescent="0.3">
      <c r="G16">
        <f>1/H11/1000000</f>
        <v>4.9019607843137254E-9</v>
      </c>
      <c r="H16" s="3">
        <f>D2/G16</f>
        <v>61.199999999999996</v>
      </c>
      <c r="I16" s="4">
        <f>E2/G16</f>
        <v>183.6</v>
      </c>
      <c r="J16" s="4">
        <f>I16-H16</f>
        <v>122.4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Harmsen, Emiel (UT-EEMCS)</dc:creator>
  <cp:lastModifiedBy>Harmsen, Emiel (UT-EEMCS)</cp:lastModifiedBy>
  <dcterms:created xsi:type="dcterms:W3CDTF">2024-05-24T16:20:12Z</dcterms:created>
  <dcterms:modified xsi:type="dcterms:W3CDTF">2024-05-26T13:42:15Z</dcterms:modified>
</cp:coreProperties>
</file>